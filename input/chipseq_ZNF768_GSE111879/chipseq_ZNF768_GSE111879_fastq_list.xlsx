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esktop/20250221_ZNF768_project/input/chipseq_ZNF768_GSE111879/"/>
    </mc:Choice>
  </mc:AlternateContent>
  <xr:revisionPtr revIDLastSave="0" documentId="13_ncr:1_{B13696A8-62BF-CE4B-A0DF-3399707477A2}" xr6:coauthVersionLast="47" xr6:coauthVersionMax="47" xr10:uidLastSave="{00000000-0000-0000-0000-000000000000}"/>
  <bookViews>
    <workbookView xWindow="15120" yWindow="760" windowWidth="15120" windowHeight="18880" xr2:uid="{306AA37F-DFF1-C844-A03A-B30D0E0B0F5A}"/>
  </bookViews>
  <sheets>
    <sheet name="Feuil1" sheetId="1" r:id="rId1"/>
  </sheets>
  <definedNames>
    <definedName name="chipseq_THP1_LPS_IFNg_GSE201352_fastq_list" localSheetId="0">Feuil1!$A$1:$M$1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 s="1"/>
  <c r="L2" i="1"/>
  <c r="M2" i="1" s="1"/>
  <c r="J2" i="1"/>
  <c r="K2" i="1" s="1"/>
  <c r="J3" i="1"/>
  <c r="K3" i="1" s="1"/>
  <c r="J4" i="1"/>
  <c r="K4" i="1" s="1"/>
  <c r="J5" i="1"/>
  <c r="K5" i="1" s="1"/>
  <c r="C3" i="1"/>
  <c r="C4" i="1"/>
  <c r="C5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31CF38-63C7-4646-8D80-5A23CEF0D631}" name="chipseq_THP1_LPS_IFNg_GSE201352_fastq_list" type="6" refreshedVersion="8" background="1" saveData="1">
    <textPr sourceFile="/Users/chris/Desktop/20250118_TADc_project/input/chipseq_THP1_LPS_IFNg_GSE201352/chipseq_THP1_LPS_IFNg_GSE201352_fastq_list.txt" decimal="," thousands=" 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<sst xmlns="http://schemas.openxmlformats.org/spreadsheetml/2006/main" count="45" uniqueCount="32">
  <si>
    <t>rep1</t>
  </si>
  <si>
    <t>isogenic_replicate</t>
  </si>
  <si>
    <t>fastq_R1_filename</t>
  </si>
  <si>
    <t>batch_folder</t>
  </si>
  <si>
    <t>fastq_R1_filepath</t>
  </si>
  <si>
    <t>raw_fastq</t>
  </si>
  <si>
    <t>sample_name</t>
  </si>
  <si>
    <t>fastq_R2_filename</t>
  </si>
  <si>
    <t>fastq_R2_filepath</t>
  </si>
  <si>
    <t>rep2</t>
  </si>
  <si>
    <t>target</t>
  </si>
  <si>
    <t>GSE</t>
  </si>
  <si>
    <t>description</t>
  </si>
  <si>
    <t>SRR</t>
  </si>
  <si>
    <t>cell_line</t>
  </si>
  <si>
    <t>GSM3043267</t>
  </si>
  <si>
    <t>GSM3043268</t>
  </si>
  <si>
    <t>GSM3043270</t>
  </si>
  <si>
    <t>GSM3043271</t>
  </si>
  <si>
    <t>RAJI</t>
  </si>
  <si>
    <t>U2OS</t>
  </si>
  <si>
    <t>ZNF768</t>
  </si>
  <si>
    <t>Raji ZNF768 ChIP-seq (rep. 1)</t>
  </si>
  <si>
    <t>Raji ZNF768 ChIP-seq (rep. 2)</t>
  </si>
  <si>
    <t>U2OS ZNF768 ChIP-seq (rep. 1)</t>
  </si>
  <si>
    <t>U2OS ZNF768 ChIP-seq (rep. 2)</t>
  </si>
  <si>
    <t>SRR6841436</t>
  </si>
  <si>
    <t>SRR6841437</t>
  </si>
  <si>
    <t>SRR6841441</t>
  </si>
  <si>
    <t>SRR6841442</t>
  </si>
  <si>
    <t>fastq_folder</t>
  </si>
  <si>
    <t>chipseq_ZNF768_GSE111879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</si>
</sst>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ipseq_THP1_LPS_IFNg_GSE201352_fastq_list" connectionId="1" xr16:uid="{F4F6A76B-7862-D94C-8A84-B10D928AFC7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F79D-A2FC-334F-BF39-D9F97A51EEDB}">
  <dimension ref="A1:M5"/>
  <sheetViews>
    <sheetView tabSelected="1" topLeftCell="C1" workbookViewId="0">
      <selection activeCell="G5" sqref="G5"/>
    </sheetView>
  </sheetViews>
  <sheetFormatPr baseColWidth="10" defaultRowHeight="16" x14ac:dyDescent="0.2"/>
  <cols>
    <col min="1" max="1" width="12.1640625" bestFit="1" customWidth="1"/>
    <col min="2" max="2" width="37.1640625" bestFit="1" customWidth="1"/>
    <col min="3" max="3" width="35.5" customWidth="1"/>
    <col min="4" max="4" width="8" bestFit="1" customWidth="1"/>
    <col min="5" max="5" width="8.1640625" customWidth="1"/>
    <col min="6" max="6" width="16" bestFit="1" customWidth="1"/>
    <col min="7" max="7" width="16" customWidth="1"/>
    <col min="8" max="8" width="11.5" bestFit="1" customWidth="1"/>
    <col min="9" max="9" width="12.5" bestFit="1" customWidth="1"/>
    <col min="10" max="10" width="21.83203125" bestFit="1" customWidth="1"/>
    <col min="11" max="11" width="31.1640625" bestFit="1" customWidth="1"/>
    <col min="12" max="12" width="21.83203125" bestFit="1" customWidth="1"/>
    <col min="13" max="13" width="31.1640625" bestFit="1" customWidth="1"/>
  </cols>
  <sheetData>
    <row r="1" spans="1:13" x14ac:dyDescent="0.2">
      <c r="A1" t="s">
        <v>11</v>
      </c>
      <c r="B1" t="s">
        <v>12</v>
      </c>
      <c r="C1" t="s">
        <v>6</v>
      </c>
      <c r="D1" t="s">
        <v>14</v>
      </c>
      <c r="E1" t="s">
        <v>10</v>
      </c>
      <c r="F1" t="s">
        <v>1</v>
      </c>
      <c r="G1" t="s">
        <v>30</v>
      </c>
      <c r="H1" t="s">
        <v>3</v>
      </c>
      <c r="I1" t="s">
        <v>13</v>
      </c>
      <c r="J1" t="s">
        <v>2</v>
      </c>
      <c r="K1" t="s">
        <v>4</v>
      </c>
      <c r="L1" t="s">
        <v>7</v>
      </c>
      <c r="M1" t="s">
        <v>8</v>
      </c>
    </row>
    <row r="2" spans="1:13" x14ac:dyDescent="0.2">
      <c r="A2" t="s">
        <v>15</v>
      </c>
      <c r="B2" t="s">
        <v>22</v>
      </c>
      <c r="C2" t="str">
        <f>_xlfn.CONCAT(D2,"_",E2,"_",F2)</f>
        <v>RAJI_ZNF768_rep1</v>
      </c>
      <c r="D2" t="s">
        <v>19</v>
      </c>
      <c r="E2" t="s">
        <v>21</v>
      </c>
      <c r="F2" t="s">
        <v>0</v>
      </c>
      <c r="G2" t="s">
        <v>31</v>
      </c>
      <c r="H2" t="s">
        <v>5</v>
      </c>
      <c r="I2" t="s">
        <v>26</v>
      </c>
      <c r="J2" t="str">
        <f>_xlfn.CONCAT(I2,"_1.fastq.gz")</f>
        <v>SRR6841436_1.fastq.gz</v>
      </c>
      <c r="K2" t="str">
        <f>_xlfn.CONCAT(H2,"/",J2)</f>
        <v>raw_fastq/SRR6841436_1.fastq.gz</v>
      </c>
      <c r="L2" t="str">
        <f>_xlfn.CONCAT(I2,"_2.fastq.gz")</f>
        <v>SRR6841436_2.fastq.gz</v>
      </c>
      <c r="M2" t="str">
        <f>_xlfn.CONCAT(H2,"/",L2)</f>
        <v>raw_fastq/SRR6841436_2.fastq.gz</v>
      </c>
    </row>
    <row r="3" spans="1:13" x14ac:dyDescent="0.2">
      <c r="A3" t="s">
        <v>16</v>
      </c>
      <c r="B3" t="s">
        <v>23</v>
      </c>
      <c r="C3" t="str">
        <f t="shared" ref="C3:C5" si="0">_xlfn.CONCAT(D3,"_",E3,"_",F3)</f>
        <v>RAJI_ZNF768_rep2</v>
      </c>
      <c r="D3" t="s">
        <v>19</v>
      </c>
      <c r="E3" t="s">
        <v>21</v>
      </c>
      <c r="F3" t="s">
        <v>9</v>
      </c>
      <c r="G3" t="s">
        <v>31</v>
      </c>
      <c r="H3" t="s">
        <v>5</v>
      </c>
      <c r="I3" t="s">
        <v>27</v>
      </c>
      <c r="J3" t="str">
        <f>_xlfn.CONCAT(I3,"_1.fastq.gz")</f>
        <v>SRR6841437_1.fastq.gz</v>
      </c>
      <c r="K3" t="str">
        <f t="shared" ref="K3:K5" si="1">_xlfn.CONCAT(H3,"/",J3)</f>
        <v>raw_fastq/SRR6841437_1.fastq.gz</v>
      </c>
      <c r="L3" t="str">
        <f t="shared" ref="L3:L5" si="2">_xlfn.CONCAT(I3,"_2.fastq.gz")</f>
        <v>SRR6841437_2.fastq.gz</v>
      </c>
      <c r="M3" t="str">
        <f t="shared" ref="M3:M5" si="3">_xlfn.CONCAT(H3,"/",L3)</f>
        <v>raw_fastq/SRR6841437_2.fastq.gz</v>
      </c>
    </row>
    <row r="4" spans="1:13" x14ac:dyDescent="0.2">
      <c r="A4" t="s">
        <v>17</v>
      </c>
      <c r="B4" t="s">
        <v>24</v>
      </c>
      <c r="C4" t="str">
        <f t="shared" si="0"/>
        <v>U2OS_ZNF768_rep1</v>
      </c>
      <c r="D4" t="s">
        <v>20</v>
      </c>
      <c r="E4" t="s">
        <v>21</v>
      </c>
      <c r="F4" t="s">
        <v>0</v>
      </c>
      <c r="G4" t="s">
        <v>31</v>
      </c>
      <c r="H4" t="s">
        <v>5</v>
      </c>
      <c r="I4" t="s">
        <v>28</v>
      </c>
      <c r="J4" t="str">
        <f t="shared" ref="J4:J5" si="4">_xlfn.CONCAT(I4,"_1.fastq.gz")</f>
        <v>SRR6841441_1.fastq.gz</v>
      </c>
      <c r="K4" t="str">
        <f t="shared" si="1"/>
        <v>raw_fastq/SRR6841441_1.fastq.gz</v>
      </c>
      <c r="L4" t="str">
        <f t="shared" si="2"/>
        <v>SRR6841441_2.fastq.gz</v>
      </c>
      <c r="M4" t="str">
        <f t="shared" si="3"/>
        <v>raw_fastq/SRR6841441_2.fastq.gz</v>
      </c>
    </row>
    <row r="5" spans="1:13" x14ac:dyDescent="0.2">
      <c r="A5" t="s">
        <v>18</v>
      </c>
      <c r="B5" t="s">
        <v>25</v>
      </c>
      <c r="C5" t="str">
        <f t="shared" si="0"/>
        <v>U2OS_ZNF768_rep2</v>
      </c>
      <c r="D5" t="s">
        <v>20</v>
      </c>
      <c r="E5" t="s">
        <v>21</v>
      </c>
      <c r="F5" t="s">
        <v>9</v>
      </c>
      <c r="G5" t="s">
        <v>31</v>
      </c>
      <c r="H5" t="s">
        <v>5</v>
      </c>
      <c r="I5" t="s">
        <v>29</v>
      </c>
      <c r="J5" t="str">
        <f t="shared" si="4"/>
        <v>SRR6841442_1.fastq.gz</v>
      </c>
      <c r="K5" t="str">
        <f t="shared" si="1"/>
        <v>raw_fastq/SRR6841442_1.fastq.gz</v>
      </c>
      <c r="L5" t="str">
        <f t="shared" si="2"/>
        <v>SRR6841442_2.fastq.gz</v>
      </c>
      <c r="M5" t="str">
        <f t="shared" si="3"/>
        <v>raw_fastq/SRR6841442_2.fastq.gz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Feuil1!chipseq_THP1_LPS_IFNg_GSE201352_fastq_list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Tav</dc:creator>
  <cp:lastModifiedBy>Christophe Tav</cp:lastModifiedBy>
  <dcterms:created xsi:type="dcterms:W3CDTF">2020-12-07T19:20:19Z</dcterms:created>
  <dcterms:modified xsi:type="dcterms:W3CDTF">2025-02-21T20:43:48Z</dcterms:modified>
</cp:coreProperties>
</file>